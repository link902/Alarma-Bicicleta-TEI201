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Bustos\Desktop\proyecto_final_TEI201-main\proyecto_final_TEI201-main\hardware\bom\"/>
    </mc:Choice>
  </mc:AlternateContent>
  <xr:revisionPtr revIDLastSave="0" documentId="13_ncr:1_{A24D4C9F-65A9-442D-B703-02D28FB72907}" xr6:coauthVersionLast="47" xr6:coauthVersionMax="47" xr10:uidLastSave="{00000000-0000-0000-0000-000000000000}"/>
  <bookViews>
    <workbookView xWindow="-108" yWindow="-108" windowWidth="23256" windowHeight="13176" xr2:uid="{E2152914-6AA1-4C4F-9F6B-D0D16B7786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</calcChain>
</file>

<file path=xl/sharedStrings.xml><?xml version="1.0" encoding="utf-8"?>
<sst xmlns="http://schemas.openxmlformats.org/spreadsheetml/2006/main" count="33" uniqueCount="30">
  <si>
    <t>Cantidad</t>
  </si>
  <si>
    <t>Componente</t>
  </si>
  <si>
    <t>Especificación</t>
  </si>
  <si>
    <t>Fabricante</t>
  </si>
  <si>
    <t>Código/SKU</t>
  </si>
  <si>
    <t>Proveedor</t>
  </si>
  <si>
    <t>Datasheet</t>
  </si>
  <si>
    <t>Espressif Systems</t>
  </si>
  <si>
    <t>ESP32-S3-N16R8</t>
  </si>
  <si>
    <t xml:space="preserve">Mercado Libre </t>
  </si>
  <si>
    <t>Wifi+B, 44 pines</t>
  </si>
  <si>
    <t>KY-017</t>
  </si>
  <si>
    <t>3 pines, 3,3v-5,5v</t>
  </si>
  <si>
    <t>Joy-It y Keyes</t>
  </si>
  <si>
    <t>sensor vibración</t>
  </si>
  <si>
    <t>microcontrolador</t>
  </si>
  <si>
    <t>Precio Unitario [clp]</t>
  </si>
  <si>
    <t>Precio Total [clp]</t>
  </si>
  <si>
    <t>Buzzer activo</t>
  </si>
  <si>
    <t>3,3v a 5,5v, 2300 hz</t>
  </si>
  <si>
    <t>Sae Sky</t>
  </si>
  <si>
    <t>ACT-BUZZ-5V</t>
  </si>
  <si>
    <t>jumper-hembra-hembra</t>
  </si>
  <si>
    <t>5cm-10cm</t>
  </si>
  <si>
    <t>Adafruit</t>
  </si>
  <si>
    <t>https://www.mercadolibre.cl/cables-dupont-40u-protoboard-hembra-hembra-10cm-max-/p/MLC2089406190?pdp_filters=item_id%3AMLC443851680&amp;from=gshop&amp;matt_tool=49858074&amp;matt_word=&amp;matt_source=google&amp;matt_campaign_id=22116391803&amp;matt_ad_group_id=173057399189&amp;matt_match_type=&amp;matt_network=g&amp;matt_device=c&amp;matt_creative=729566860012&amp;matt_keyword=&amp;matt_ad_position=&amp;matt_ad_type=pla&amp;matt_merchant_id=735115857&amp;matt_product_id=MLC2089406190-product&amp;matt_product_partition_id=2389865440548&amp;matt_target_id=aud-1816020084122:pla-2389865440548&amp;cq_src=google_ads&amp;cq_cmp=22116391803&amp;cq_net=g&amp;cq_plt=gp&amp;cq_med=pla&amp;gad_source=1&amp;gad_campaignid=22116391803&amp;gbraid=0AAAAADxxu6ptfdeQmBAeeEZ-WIcJUIOh-&amp;gclid=CjwKCAjw3ejRBhAdEiwADkqPn1b45e4yneOeR7L4O8egULPZOFc8aQLL2Hjrgdaa36CZY8mSTpN6CBoCEZ0QAvD_BwE</t>
  </si>
  <si>
    <t>https://www.alldatasheet.com/datasheet-pdf/view/2045018/AGELECTRONICA/KY-017.html</t>
  </si>
  <si>
    <t>https://www.bolanosdj.com.ar/MOVIL/ARDUINO2/BuzzerActivo.pdf</t>
  </si>
  <si>
    <t>https://www.alldatasheet.com/datasheet-pdf/download/1642038/ESPRESSIF/ESP32S3.html</t>
  </si>
  <si>
    <t>Precio Total: 22352clp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</si>
</sst>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lanosdj.com.ar/MOVIL/ARDUINO2/BuzzerActivo.pdf" TargetMode="External"/><Relationship Id="rId2" Type="http://schemas.openxmlformats.org/officeDocument/2006/relationships/hyperlink" Target="https://www.alldatasheet.com/datasheet-pdf/view/2045018/AGELECTRONICA/KY-017.html" TargetMode="External"/><Relationship Id="rId1" Type="http://schemas.openxmlformats.org/officeDocument/2006/relationships/hyperlink" Target="https://www.alldatasheet.com/datasheet-pdf/download/1642038/ESPRESSIF/ESP32S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2926-2141-48A8-A69B-8391D3EAE8E1}">
  <dimension ref="A1:I6"/>
  <sheetViews>
    <sheetView tabSelected="1" zoomScale="74" workbookViewId="0">
      <selection activeCell="C12" sqref="C12"/>
    </sheetView>
  </sheetViews>
  <sheetFormatPr baseColWidth="10" defaultRowHeight="14.4" x14ac:dyDescent="0.3"/>
  <cols>
    <col min="2" max="2" width="20.5546875" customWidth="1"/>
    <col min="3" max="3" width="17.21875" customWidth="1"/>
    <col min="4" max="4" width="15.21875" customWidth="1"/>
    <col min="5" max="5" width="24" customWidth="1"/>
    <col min="7" max="7" width="18.5546875" customWidth="1"/>
    <col min="8" max="8" width="17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17</v>
      </c>
      <c r="I1" s="1" t="s">
        <v>6</v>
      </c>
    </row>
    <row r="2" spans="1:9" x14ac:dyDescent="0.3">
      <c r="A2" s="1">
        <v>1</v>
      </c>
      <c r="B2" s="1" t="s">
        <v>15</v>
      </c>
      <c r="C2" s="1" t="s">
        <v>10</v>
      </c>
      <c r="D2" s="1" t="s">
        <v>7</v>
      </c>
      <c r="E2" s="1" t="s">
        <v>8</v>
      </c>
      <c r="F2" s="1" t="s">
        <v>9</v>
      </c>
      <c r="G2" s="1">
        <v>14000</v>
      </c>
      <c r="H2" s="1">
        <v>14000</v>
      </c>
      <c r="I2" s="2" t="s">
        <v>28</v>
      </c>
    </row>
    <row r="3" spans="1:9" x14ac:dyDescent="0.3">
      <c r="A3" s="1">
        <v>1</v>
      </c>
      <c r="B3" s="1" t="s">
        <v>14</v>
      </c>
      <c r="C3" s="1" t="s">
        <v>12</v>
      </c>
      <c r="D3" s="1" t="s">
        <v>13</v>
      </c>
      <c r="E3" s="1" t="s">
        <v>11</v>
      </c>
      <c r="F3" s="1" t="s">
        <v>9</v>
      </c>
      <c r="G3" s="1">
        <v>6000</v>
      </c>
      <c r="H3" s="1">
        <v>6000</v>
      </c>
      <c r="I3" s="2" t="s">
        <v>26</v>
      </c>
    </row>
    <row r="4" spans="1:9" x14ac:dyDescent="0.3">
      <c r="A4" s="1">
        <v>1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9</v>
      </c>
      <c r="G4" s="1">
        <v>2100</v>
      </c>
      <c r="H4" s="1">
        <v>2100</v>
      </c>
      <c r="I4" s="2" t="s">
        <v>27</v>
      </c>
    </row>
    <row r="5" spans="1:9" x14ac:dyDescent="0.3">
      <c r="A5" s="1">
        <v>1</v>
      </c>
      <c r="B5" s="1" t="s">
        <v>22</v>
      </c>
      <c r="C5" s="1" t="s">
        <v>23</v>
      </c>
      <c r="D5" s="1" t="s">
        <v>24</v>
      </c>
      <c r="E5" s="1"/>
      <c r="F5" s="1" t="s">
        <v>9</v>
      </c>
      <c r="G5" s="1">
        <v>63</v>
      </c>
      <c r="H5" s="1">
        <v>252</v>
      </c>
      <c r="I5" s="1" t="s">
        <v>25</v>
      </c>
    </row>
    <row r="6" spans="1:9" x14ac:dyDescent="0.3">
      <c r="A6" s="1"/>
      <c r="B6" s="1"/>
      <c r="C6" s="1"/>
      <c r="D6" s="1"/>
      <c r="E6" s="1"/>
      <c r="F6" s="1"/>
      <c r="G6" s="1" t="s">
        <v>29</v>
      </c>
      <c r="H6" s="1">
        <f>H2+H3+H4+H5</f>
        <v>22352</v>
      </c>
      <c r="I6" s="1"/>
    </row>
  </sheetData>
  <phoneticPr fontId="1" type="noConversion"/>
  <hyperlinks>
    <hyperlink ref="I2" r:id="rId1" xr:uid="{D7D6D07A-D2C6-404C-9702-4D6DED39D219}"/>
    <hyperlink ref="I3" r:id="rId2" xr:uid="{69975FB7-9A8A-4D36-BD5D-6B986D8E3500}"/>
    <hyperlink ref="I4" r:id="rId3" xr:uid="{9B20A311-F72D-48F0-90D9-6AE59028A5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Felipe Bustos Carrillo</dc:creator>
  <cp:lastModifiedBy>Carlos Felipe Bustos Carrillo</cp:lastModifiedBy>
  <dcterms:created xsi:type="dcterms:W3CDTF">2026-06-24T00:22:56Z</dcterms:created>
  <dcterms:modified xsi:type="dcterms:W3CDTF">2026-06-24T22:15:43Z</dcterms:modified>
</cp:coreProperties>
</file>